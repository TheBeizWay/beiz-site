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gister" sheetId="2" state="visible" r:id="rId4"/>
    <sheet name="T&amp;M jobs" sheetId="3" state="visible" r:id="rId5"/>
    <sheet name="Fixed-fee jobs" sheetId="4" state="visible" r:id="rId6"/>
    <sheet name="Hours bridge" sheetId="5" state="visible" r:id="rId7"/>
    <sheet name="Billing bridge" sheetId="6" state="visible" r:id="rId8"/>
    <sheet name="Assump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<sst xmlns="http://schemas.openxmlformats.org/spreadsheetml/2006/main" count="195" uniqueCount="152">
  <si>
    <t xml:space="preserve">Billing reconciliation: findings summary</t>
  </si>
  <si>
    <t xml:space="preserve">Period 01 Sep 2026 to 30 Sep 2026. Amounts exclude GST. Synthetic practice data, not a client result.</t>
  </si>
  <si>
    <t xml:space="preserve">Status</t>
  </si>
  <si>
    <t xml:space="preserve">Findings</t>
  </si>
  <si>
    <t xml:space="preserve">Hours</t>
  </si>
  <si>
    <t xml:space="preserve">Value ex GST</t>
  </si>
  <si>
    <t xml:space="preserve">Confirmed</t>
  </si>
  <si>
    <t xml:space="preserve">Needs information</t>
  </si>
  <si>
    <t xml:space="preserve">Explained</t>
  </si>
  <si>
    <t xml:space="preserve">What each status means</t>
  </si>
  <si>
    <t xml:space="preserve">Confirmed: the records show the issue and the arithmetic is shown. Still worth a quick check with the job owner.</t>
  </si>
  <si>
    <t xml:space="preserve">Needs information: something doesn't tie and we can't conclude without an answer from you.</t>
  </si>
  <si>
    <t xml:space="preserve">Explained: looked like a gap, but a later invoice, an approved write-off or a matching amount accounts for it.</t>
  </si>
  <si>
    <t xml:space="preserve">Value is shown only where it can be defended from the records (for example unbilled hours × agreed rate).</t>
  </si>
  <si>
    <t xml:space="preserve">Fixed-fee overruns are margin lost, not an amount the customer owes.</t>
  </si>
  <si>
    <t xml:space="preserve">Control checks</t>
  </si>
  <si>
    <t xml:space="preserve">Check</t>
  </si>
  <si>
    <t xml:space="preserve">Result</t>
  </si>
  <si>
    <t xml:space="preserve">Hours: buckets add back to raw timesheet hours</t>
  </si>
  <si>
    <t xml:space="preserve">Billing: buckets add back to raw invoice total</t>
  </si>
  <si>
    <t xml:space="preserve">T&amp;M jobs: every job's hours fully accounted for</t>
  </si>
  <si>
    <t xml:space="preserve">Exception_ID</t>
  </si>
  <si>
    <t xml:space="preserve">Type</t>
  </si>
  <si>
    <t xml:space="preserve">Job_ID</t>
  </si>
  <si>
    <t xml:space="preserve">Client</t>
  </si>
  <si>
    <t xml:space="preserve">Value_Ex_GST</t>
  </si>
  <si>
    <t xml:space="preserve">Evidence</t>
  </si>
  <si>
    <t xml:space="preserve">Calculation</t>
  </si>
  <si>
    <t xml:space="preserve">Next_question</t>
  </si>
  <si>
    <t xml:space="preserve">E001</t>
  </si>
  <si>
    <t xml:space="preserve">UNATTRIBUTED_INVOICE</t>
  </si>
  <si>
    <t xml:space="preserve">INV-3107 (invoice_lines.csv:10)</t>
  </si>
  <si>
    <t xml:space="preserve">Harbour Civil: $2,400.00 with no job reference</t>
  </si>
  <si>
    <t xml:space="preserve">Which job does this invoice belong to? Until we know, it can't explain any job's hours.</t>
  </si>
  <si>
    <t xml:space="preserve">E002</t>
  </si>
  <si>
    <t xml:space="preserve">DUP_CREDIT</t>
  </si>
  <si>
    <t xml:space="preserve">J105</t>
  </si>
  <si>
    <t xml:space="preserve">Redgum Developments</t>
  </si>
  <si>
    <t xml:space="preserve">CN-0040, CN-0041</t>
  </si>
  <si>
    <t xml:space="preserve">Two credit notes for $500.00 on 29 Sep 2026; held in suspense, not deducted</t>
  </si>
  <si>
    <t xml:space="preserve">Was the customer meant to receive this credit twice?</t>
  </si>
  <si>
    <t xml:space="preserve">E003</t>
  </si>
  <si>
    <t xml:space="preserve">UNBILLED</t>
  </si>
  <si>
    <t xml:space="preserve">J101</t>
  </si>
  <si>
    <t xml:space="preserve">Harbour Civil</t>
  </si>
  <si>
    <t xml:space="preserve">Timesheets for J101; invoices INV-3101</t>
  </si>
  <si>
    <t xml:space="preserve">120 h approved billable − 96 h invoiced − 0 h invoiced later − 0 h written off = 24 h × $180</t>
  </si>
  <si>
    <t xml:space="preserve">Is there an invoice we haven't seen, or was this time agreed as not chargeable?</t>
  </si>
  <si>
    <t xml:space="preserve">E004</t>
  </si>
  <si>
    <t xml:space="preserve">BILLED_LATER</t>
  </si>
  <si>
    <t xml:space="preserve">J102</t>
  </si>
  <si>
    <t xml:space="preserve">Northside Builders</t>
  </si>
  <si>
    <t xml:space="preserve">INV-3201</t>
  </si>
  <si>
    <t xml:space="preserve">30 h of September time invoiced on 08 Oct 2026</t>
  </si>
  <si>
    <t xml:space="preserve">None. Timing difference only.</t>
  </si>
  <si>
    <t xml:space="preserve">E005</t>
  </si>
  <si>
    <t xml:space="preserve">WRITE_OFF</t>
  </si>
  <si>
    <t xml:space="preserve">J103</t>
  </si>
  <si>
    <t xml:space="preserve">Kestrel Water</t>
  </si>
  <si>
    <t xml:space="preserve">WO-0012</t>
  </si>
  <si>
    <t xml:space="preserve">10 h written off, approved by Owner: Goodwill: extra handover meeting</t>
  </si>
  <si>
    <t xml:space="preserve">None. Approved write-off.</t>
  </si>
  <si>
    <t xml:space="preserve">E006</t>
  </si>
  <si>
    <t xml:space="preserve">INFERRED_HOURS</t>
  </si>
  <si>
    <t xml:space="preserve">J104</t>
  </si>
  <si>
    <t xml:space="preserve">Lakeview Council Works</t>
  </si>
  <si>
    <t xml:space="preserve">INV-3104</t>
  </si>
  <si>
    <t xml:space="preserve">Invoice shows no hours: $9,000.00 ÷ $150 agreed rate = 60 h (medium confidence)</t>
  </si>
  <si>
    <t xml:space="preserve">Confirm the invoice was billed at the agreed rate.</t>
  </si>
  <si>
    <t xml:space="preserve">E007</t>
  </si>
  <si>
    <t xml:space="preserve">RATE_DIFF</t>
  </si>
  <si>
    <t xml:space="preserve">INV-3105 (invoice_lines.csv:8)</t>
  </si>
  <si>
    <t xml:space="preserve">30 h × ($180 agreed − $165 invoiced) = $450.00</t>
  </si>
  <si>
    <t xml:space="preserve">Was a discount agreed, or is the rate card out of date?</t>
  </si>
  <si>
    <t xml:space="preserve">E008</t>
  </si>
  <si>
    <t xml:space="preserve">PENDING_TIME</t>
  </si>
  <si>
    <t xml:space="preserve">J106</t>
  </si>
  <si>
    <t xml:space="preserve">Brindabella Energy</t>
  </si>
  <si>
    <t xml:space="preserve">T0060</t>
  </si>
  <si>
    <t xml:space="preserve">6 h awaiting approval at period end; 6 h billable × $175</t>
  </si>
  <si>
    <t xml:space="preserve">Will this time be approved and billed?</t>
  </si>
  <si>
    <t xml:space="preserve">E009</t>
  </si>
  <si>
    <t xml:space="preserve">DUP_TIME</t>
  </si>
  <si>
    <t xml:space="preserve">T0062</t>
  </si>
  <si>
    <t xml:space="preserve">1 entry identical to an earlier one (staff, date, job, hours, note); excluded from billable hours</t>
  </si>
  <si>
    <t xml:space="preserve">Is this a genuine second piece of work or a double entry?</t>
  </si>
  <si>
    <t xml:space="preserve">E010</t>
  </si>
  <si>
    <t xml:space="preserve">ORPHAN_TIME</t>
  </si>
  <si>
    <t xml:space="preserve">J199</t>
  </si>
  <si>
    <t xml:space="preserve">T0063, T0064</t>
  </si>
  <si>
    <t xml:space="preserve">8 h booked to J199, which is not in the job list</t>
  </si>
  <si>
    <t xml:space="preserve">Which job should this time be on?</t>
  </si>
  <si>
    <t xml:space="preserve">E011</t>
  </si>
  <si>
    <t xml:space="preserve">MARGIN_EROSION</t>
  </si>
  <si>
    <t xml:space="preserve">F201</t>
  </si>
  <si>
    <t xml:space="preserve">Timesheets for F201</t>
  </si>
  <si>
    <t xml:space="preserve">220 h before + 120 h this period = 340 h against a 300 h budget</t>
  </si>
  <si>
    <t xml:space="preserve">Margin lost, not an amount the customer owes. Was a variation agreed for the extra work?</t>
  </si>
  <si>
    <t xml:space="preserve">Agreed_Rate</t>
  </si>
  <si>
    <t xml:space="preserve">Logged_Billable_Hours</t>
  </si>
  <si>
    <t xml:space="preserve">Billed_In_Period</t>
  </si>
  <si>
    <t xml:space="preserve">Billed_Later</t>
  </si>
  <si>
    <t xml:space="preserve">Written_Off_Approved</t>
  </si>
  <si>
    <t xml:space="preserve">Unbilled</t>
  </si>
  <si>
    <t xml:space="preserve">Over_Billed</t>
  </si>
  <si>
    <t xml:space="preserve">Check (should be 0)</t>
  </si>
  <si>
    <t xml:space="preserve">Each row: logged approved billable hours = billed in period + billed later + approved write-offs + unbilled. Over-billed shown separately.</t>
  </si>
  <si>
    <t xml:space="preserve">Fee_Ex_GST</t>
  </si>
  <si>
    <t xml:space="preserve">Budget_Hours</t>
  </si>
  <si>
    <t xml:space="preserve">Hours_Before_Period</t>
  </si>
  <si>
    <t xml:space="preserve">Period_Hours</t>
  </si>
  <si>
    <t xml:space="preserve">Cumulative hours</t>
  </si>
  <si>
    <t xml:space="preserve">Over budget (hours)</t>
  </si>
  <si>
    <t xml:space="preserve">Budget used</t>
  </si>
  <si>
    <t xml:space="preserve">F202</t>
  </si>
  <si>
    <t xml:space="preserve">F203</t>
  </si>
  <si>
    <t xml:space="preserve">F204</t>
  </si>
  <si>
    <t xml:space="preserve">Hours over budget on a fixed fee are margin lost. They are not an amount the customer owes unless a variation was agreed.</t>
  </si>
  <si>
    <t xml:space="preserve">Bucket</t>
  </si>
  <si>
    <t xml:space="preserve">Approved billable (T&amp;M)</t>
  </si>
  <si>
    <t xml:space="preserve">Approved billable (fixed fee)</t>
  </si>
  <si>
    <t xml:space="preserve">Approved non-billable</t>
  </si>
  <si>
    <t xml:space="preserve">Duplicate entry</t>
  </si>
  <si>
    <t xml:space="preserve">Out of period</t>
  </si>
  <si>
    <t xml:space="preserve">Pending approval</t>
  </si>
  <si>
    <t xml:space="preserve">Rejected</t>
  </si>
  <si>
    <t xml:space="preserve">Unknown job code</t>
  </si>
  <si>
    <t xml:space="preserve">Total of buckets</t>
  </si>
  <si>
    <t xml:space="preserve">Raw timesheet hours (as exported)</t>
  </si>
  <si>
    <t xml:space="preserve">Difference (must be 0)</t>
  </si>
  <si>
    <t xml:space="preserve">Amount ex GST</t>
  </si>
  <si>
    <t xml:space="preserve">Issued after period (look-ahead)</t>
  </si>
  <si>
    <t xml:space="preserve">Issued in period</t>
  </si>
  <si>
    <t xml:space="preserve">No job reference</t>
  </si>
  <si>
    <t xml:space="preserve">Void</t>
  </si>
  <si>
    <t xml:space="preserve">Raw invoice lines (as exported)</t>
  </si>
  <si>
    <t xml:space="preserve">Reporting period</t>
  </si>
  <si>
    <t xml:space="preserve">01 Sep 2026 to 30 Sep 2026</t>
  </si>
  <si>
    <t xml:space="preserve">Look-ahead window</t>
  </si>
  <si>
    <t xml:space="preserve">Invoices issued up to 31 days after period end are treated as billing period hours (assumption: confirm with client)</t>
  </si>
  <si>
    <t xml:space="preserve">Matching tolerance</t>
  </si>
  <si>
    <t xml:space="preserve">0.25 hours</t>
  </si>
  <si>
    <t xml:space="preserve">Hours on invoices without hours</t>
  </si>
  <si>
    <t xml:space="preserve">Amount ÷ agreed rate (medium confidence)</t>
  </si>
  <si>
    <t xml:space="preserve">Duplicates</t>
  </si>
  <si>
    <t xml:space="preserve">Same staff, date, job, hours and note as an earlier entry</t>
  </si>
  <si>
    <t xml:space="preserve">Write-offs</t>
  </si>
  <si>
    <t xml:space="preserve">Count as explained only if an approver is recorded</t>
  </si>
  <si>
    <t xml:space="preserve">Credit notes</t>
  </si>
  <si>
    <t xml:space="preserve">Same job, date and amount as another: second one held in suspense, not deducted</t>
  </si>
  <si>
    <t xml:space="preserve">GST</t>
  </si>
  <si>
    <t xml:space="preserve">All amounts exclude GST. No tax or GST conclusions are drawn.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</si>
</sst>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\$#,##0.00;&quot;($&quot;#,##0.00\);\-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5A4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5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5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COUNTIF(Register!$E$2:$E$12,A5)</f>
        <v>2</v>
      </c>
      <c r="C5" s="5" t="n">
        <f aca="false">SUMIF(Register!$E$2:$E$12,A5,Register!$F$2:$F$12)</f>
        <v>54</v>
      </c>
      <c r="D5" s="6" t="n">
        <f aca="false">SUMIF(Register!$E$2:$E$12,A5,Register!$G$2:$G$12)</f>
        <v>4770</v>
      </c>
    </row>
    <row r="6" customFormat="false" ht="15" hidden="false" customHeight="false" outlineLevel="0" collapsed="false">
      <c r="A6" s="4" t="s">
        <v>7</v>
      </c>
      <c r="B6" s="4" t="n">
        <f aca="false">COUNTIF(Register!$E$2:$E$12,A6)</f>
        <v>6</v>
      </c>
      <c r="C6" s="5" t="n">
        <f aca="false">SUMIF(Register!$E$2:$E$12,A6,Register!$F$2:$F$12)</f>
        <v>57</v>
      </c>
      <c r="D6" s="6" t="n">
        <f aca="false">SUMIF(Register!$E$2:$E$12,A6,Register!$G$2:$G$12)</f>
        <v>3950</v>
      </c>
    </row>
    <row r="7" customFormat="false" ht="15" hidden="false" customHeight="false" outlineLevel="0" collapsed="false">
      <c r="A7" s="4" t="s">
        <v>8</v>
      </c>
      <c r="B7" s="4" t="n">
        <f aca="false">COUNTIF(Register!$E$2:$E$12,A7)</f>
        <v>3</v>
      </c>
      <c r="C7" s="5" t="n">
        <f aca="false">SUMIF(Register!$E$2:$E$12,A7,Register!$F$2:$F$12)</f>
        <v>100</v>
      </c>
      <c r="D7" s="6" t="n">
        <f aca="false">SUMIF(Register!$E$2:$E$12,A7,Register!$G$2:$G$12)</f>
        <v>6500</v>
      </c>
    </row>
    <row r="9" customFormat="false" ht="15" hidden="false" customHeight="false" outlineLevel="0" collapsed="false">
      <c r="A9" s="7" t="s">
        <v>9</v>
      </c>
    </row>
    <row r="10" customFormat="false" ht="15" hidden="false" customHeight="false" outlineLevel="0" collapsed="false">
      <c r="A10" s="8" t="s">
        <v>10</v>
      </c>
    </row>
    <row r="11" customFormat="false" ht="15" hidden="false" customHeight="false" outlineLevel="0" collapsed="false">
      <c r="A11" s="8" t="s">
        <v>11</v>
      </c>
    </row>
    <row r="12" customFormat="false" ht="15" hidden="false" customHeight="false" outlineLevel="0" collapsed="false">
      <c r="A12" s="8" t="s">
        <v>12</v>
      </c>
    </row>
    <row r="13" customFormat="false" ht="15" hidden="false" customHeight="false" outlineLevel="0" collapsed="false">
      <c r="A13" s="8" t="s">
        <v>13</v>
      </c>
    </row>
    <row r="14" customFormat="false" ht="15" hidden="false" customHeight="false" outlineLevel="0" collapsed="false">
      <c r="A14" s="8" t="s">
        <v>14</v>
      </c>
    </row>
    <row r="16" customFormat="false" ht="15" hidden="false" customHeight="false" outlineLevel="0" collapsed="false">
      <c r="A16" s="7" t="s">
        <v>15</v>
      </c>
    </row>
    <row r="17" customFormat="false" ht="15" hidden="false" customHeight="false" outlineLevel="0" collapsed="false">
      <c r="A17" s="3" t="s">
        <v>16</v>
      </c>
      <c r="B17" s="3" t="s">
        <v>17</v>
      </c>
    </row>
    <row r="18" customFormat="false" ht="15" hidden="false" customHeight="false" outlineLevel="0" collapsed="false">
      <c r="A18" s="4" t="s">
        <v>18</v>
      </c>
      <c r="B18" s="4" t="str">
        <f aca="false">IF(ABS('Hours bridge'!B12)&lt;0.005,"PASS","FAIL")</f>
        <v>PASS</v>
      </c>
    </row>
    <row r="19" customFormat="false" ht="15" hidden="false" customHeight="false" outlineLevel="0" collapsed="false">
      <c r="A19" s="4" t="s">
        <v>19</v>
      </c>
      <c r="B19" s="4" t="str">
        <f aca="false">IF(ABS('Billing bridge'!B8)&lt;0.005,"PASS","FAIL")</f>
        <v>PASS</v>
      </c>
    </row>
    <row r="20" customFormat="false" ht="15" hidden="false" customHeight="false" outlineLevel="0" collapsed="false">
      <c r="A20" s="4" t="s">
        <v>20</v>
      </c>
      <c r="B20" s="4" t="str">
        <f aca="false">IF(SUMPRODUCT(ABS('T&amp;M jobs'!J2:J7))&lt;0.005,"PASS","FAIL")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44"/>
  </cols>
  <sheetData>
    <row r="1" customFormat="false" ht="26.85" hidden="false" customHeight="fals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</v>
      </c>
      <c r="F1" s="3" t="s">
        <v>4</v>
      </c>
      <c r="G1" s="3" t="s">
        <v>25</v>
      </c>
      <c r="H1" s="3" t="s">
        <v>26</v>
      </c>
      <c r="I1" s="3" t="s">
        <v>27</v>
      </c>
      <c r="J1" s="3" t="s">
        <v>28</v>
      </c>
    </row>
    <row r="2" customFormat="false" ht="26.85" hidden="false" customHeight="false" outlineLevel="0" collapsed="false">
      <c r="A2" s="4" t="s">
        <v>29</v>
      </c>
      <c r="B2" s="4" t="s">
        <v>30</v>
      </c>
      <c r="C2" s="4"/>
      <c r="D2" s="4"/>
      <c r="E2" s="4" t="s">
        <v>7</v>
      </c>
      <c r="F2" s="5" t="n">
        <v>0</v>
      </c>
      <c r="G2" s="6" t="n">
        <v>2400</v>
      </c>
      <c r="H2" s="4" t="s">
        <v>31</v>
      </c>
      <c r="I2" s="4" t="s">
        <v>32</v>
      </c>
      <c r="J2" s="4" t="s">
        <v>33</v>
      </c>
    </row>
    <row r="3" customFormat="false" ht="26.85" hidden="false" customHeight="false" outlineLevel="0" collapsed="false">
      <c r="A3" s="4" t="s">
        <v>34</v>
      </c>
      <c r="B3" s="4" t="s">
        <v>35</v>
      </c>
      <c r="C3" s="4" t="s">
        <v>36</v>
      </c>
      <c r="D3" s="4" t="s">
        <v>37</v>
      </c>
      <c r="E3" s="4" t="s">
        <v>7</v>
      </c>
      <c r="F3" s="5" t="n">
        <v>0</v>
      </c>
      <c r="G3" s="6" t="n">
        <v>500</v>
      </c>
      <c r="H3" s="4" t="s">
        <v>38</v>
      </c>
      <c r="I3" s="4" t="s">
        <v>39</v>
      </c>
      <c r="J3" s="4" t="s">
        <v>40</v>
      </c>
    </row>
    <row r="4" customFormat="false" ht="26.85" hidden="false" customHeight="false" outlineLevel="0" collapsed="false">
      <c r="A4" s="4" t="s">
        <v>41</v>
      </c>
      <c r="B4" s="4" t="s">
        <v>42</v>
      </c>
      <c r="C4" s="4" t="s">
        <v>43</v>
      </c>
      <c r="D4" s="4" t="s">
        <v>44</v>
      </c>
      <c r="E4" s="4" t="s">
        <v>6</v>
      </c>
      <c r="F4" s="5" t="n">
        <v>24</v>
      </c>
      <c r="G4" s="6" t="n">
        <v>4320</v>
      </c>
      <c r="H4" s="4" t="s">
        <v>45</v>
      </c>
      <c r="I4" s="4" t="s">
        <v>46</v>
      </c>
      <c r="J4" s="4" t="s">
        <v>47</v>
      </c>
    </row>
    <row r="5" customFormat="false" ht="15" hidden="false" customHeight="false" outlineLevel="0" collapsed="false">
      <c r="A5" s="4" t="s">
        <v>48</v>
      </c>
      <c r="B5" s="4" t="s">
        <v>49</v>
      </c>
      <c r="C5" s="4" t="s">
        <v>50</v>
      </c>
      <c r="D5" s="4" t="s">
        <v>51</v>
      </c>
      <c r="E5" s="4" t="s">
        <v>8</v>
      </c>
      <c r="F5" s="5" t="n">
        <v>30</v>
      </c>
      <c r="G5" s="6" t="n">
        <v>4800</v>
      </c>
      <c r="H5" s="4" t="s">
        <v>52</v>
      </c>
      <c r="I5" s="4" t="s">
        <v>53</v>
      </c>
      <c r="J5" s="4" t="s">
        <v>54</v>
      </c>
    </row>
    <row r="6" customFormat="false" ht="26.85" hidden="false" customHeight="false" outlineLevel="0" collapsed="false">
      <c r="A6" s="4" t="s">
        <v>55</v>
      </c>
      <c r="B6" s="4" t="s">
        <v>56</v>
      </c>
      <c r="C6" s="4" t="s">
        <v>57</v>
      </c>
      <c r="D6" s="4" t="s">
        <v>58</v>
      </c>
      <c r="E6" s="4" t="s">
        <v>8</v>
      </c>
      <c r="F6" s="5" t="n">
        <v>10</v>
      </c>
      <c r="G6" s="6" t="n">
        <v>1700</v>
      </c>
      <c r="H6" s="4" t="s">
        <v>59</v>
      </c>
      <c r="I6" s="4" t="s">
        <v>60</v>
      </c>
      <c r="J6" s="4" t="s">
        <v>61</v>
      </c>
    </row>
    <row r="7" customFormat="false" ht="26.85" hidden="false" customHeight="false" outlineLevel="0" collapsed="false">
      <c r="A7" s="4" t="s">
        <v>62</v>
      </c>
      <c r="B7" s="4" t="s">
        <v>63</v>
      </c>
      <c r="C7" s="4" t="s">
        <v>64</v>
      </c>
      <c r="D7" s="4" t="s">
        <v>65</v>
      </c>
      <c r="E7" s="4" t="s">
        <v>8</v>
      </c>
      <c r="F7" s="5" t="n">
        <v>60</v>
      </c>
      <c r="G7" s="6" t="n">
        <v>0</v>
      </c>
      <c r="H7" s="4" t="s">
        <v>66</v>
      </c>
      <c r="I7" s="4" t="s">
        <v>67</v>
      </c>
      <c r="J7" s="4" t="s">
        <v>68</v>
      </c>
    </row>
    <row r="8" customFormat="false" ht="26.85" hidden="false" customHeight="false" outlineLevel="0" collapsed="false">
      <c r="A8" s="4" t="s">
        <v>69</v>
      </c>
      <c r="B8" s="4" t="s">
        <v>70</v>
      </c>
      <c r="C8" s="4" t="s">
        <v>36</v>
      </c>
      <c r="D8" s="4" t="s">
        <v>37</v>
      </c>
      <c r="E8" s="4" t="s">
        <v>6</v>
      </c>
      <c r="F8" s="5" t="n">
        <v>30</v>
      </c>
      <c r="G8" s="6" t="n">
        <v>450</v>
      </c>
      <c r="H8" s="4" t="s">
        <v>71</v>
      </c>
      <c r="I8" s="4" t="s">
        <v>72</v>
      </c>
      <c r="J8" s="4" t="s">
        <v>73</v>
      </c>
    </row>
    <row r="9" customFormat="false" ht="26.85" hidden="false" customHeight="false" outlineLevel="0" collapsed="false">
      <c r="A9" s="4" t="s">
        <v>74</v>
      </c>
      <c r="B9" s="4" t="s">
        <v>75</v>
      </c>
      <c r="C9" s="4" t="s">
        <v>76</v>
      </c>
      <c r="D9" s="4" t="s">
        <v>77</v>
      </c>
      <c r="E9" s="4" t="s">
        <v>7</v>
      </c>
      <c r="F9" s="5" t="n">
        <v>6</v>
      </c>
      <c r="G9" s="6" t="n">
        <v>1050</v>
      </c>
      <c r="H9" s="4" t="s">
        <v>78</v>
      </c>
      <c r="I9" s="4" t="s">
        <v>79</v>
      </c>
      <c r="J9" s="4" t="s">
        <v>80</v>
      </c>
    </row>
    <row r="10" customFormat="false" ht="26.85" hidden="false" customHeight="false" outlineLevel="0" collapsed="false">
      <c r="A10" s="4" t="s">
        <v>81</v>
      </c>
      <c r="B10" s="4" t="s">
        <v>82</v>
      </c>
      <c r="C10" s="4" t="s">
        <v>76</v>
      </c>
      <c r="D10" s="4" t="s">
        <v>77</v>
      </c>
      <c r="E10" s="4" t="s">
        <v>7</v>
      </c>
      <c r="F10" s="5" t="n">
        <v>3</v>
      </c>
      <c r="G10" s="6" t="n">
        <v>0</v>
      </c>
      <c r="H10" s="4" t="s">
        <v>83</v>
      </c>
      <c r="I10" s="4" t="s">
        <v>84</v>
      </c>
      <c r="J10" s="4" t="s">
        <v>85</v>
      </c>
    </row>
    <row r="11" customFormat="false" ht="15" hidden="false" customHeight="false" outlineLevel="0" collapsed="false">
      <c r="A11" s="4" t="s">
        <v>86</v>
      </c>
      <c r="B11" s="4" t="s">
        <v>87</v>
      </c>
      <c r="C11" s="4" t="s">
        <v>88</v>
      </c>
      <c r="D11" s="4"/>
      <c r="E11" s="4" t="s">
        <v>7</v>
      </c>
      <c r="F11" s="5" t="n">
        <v>8</v>
      </c>
      <c r="G11" s="6" t="n">
        <v>0</v>
      </c>
      <c r="H11" s="4" t="s">
        <v>89</v>
      </c>
      <c r="I11" s="4" t="s">
        <v>90</v>
      </c>
      <c r="J11" s="4" t="s">
        <v>91</v>
      </c>
    </row>
    <row r="12" customFormat="false" ht="26.85" hidden="false" customHeight="false" outlineLevel="0" collapsed="false">
      <c r="A12" s="4" t="s">
        <v>92</v>
      </c>
      <c r="B12" s="4" t="s">
        <v>93</v>
      </c>
      <c r="C12" s="4" t="s">
        <v>94</v>
      </c>
      <c r="D12" s="4" t="s">
        <v>44</v>
      </c>
      <c r="E12" s="4" t="s">
        <v>7</v>
      </c>
      <c r="F12" s="5" t="n">
        <v>40</v>
      </c>
      <c r="G12" s="6" t="n">
        <v>0</v>
      </c>
      <c r="H12" s="4" t="s">
        <v>95</v>
      </c>
      <c r="I12" s="4" t="s">
        <v>96</v>
      </c>
      <c r="J12" s="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10" min="4" style="0" width="12"/>
  </cols>
  <sheetData>
    <row r="1" customFormat="false" ht="39.55" hidden="false" customHeight="false" outlineLevel="0" collapsed="false">
      <c r="A1" s="3" t="s">
        <v>23</v>
      </c>
      <c r="B1" s="3" t="s">
        <v>24</v>
      </c>
      <c r="C1" s="3" t="s">
        <v>98</v>
      </c>
      <c r="D1" s="3" t="s">
        <v>99</v>
      </c>
      <c r="E1" s="3" t="s">
        <v>100</v>
      </c>
      <c r="F1" s="3" t="s">
        <v>101</v>
      </c>
      <c r="G1" s="3" t="s">
        <v>102</v>
      </c>
      <c r="H1" s="3" t="s">
        <v>103</v>
      </c>
      <c r="I1" s="3" t="s">
        <v>104</v>
      </c>
      <c r="J1" s="3" t="s">
        <v>105</v>
      </c>
    </row>
    <row r="2" customFormat="false" ht="15" hidden="false" customHeight="false" outlineLevel="0" collapsed="false">
      <c r="A2" s="4" t="s">
        <v>43</v>
      </c>
      <c r="B2" s="4" t="s">
        <v>44</v>
      </c>
      <c r="C2" s="6" t="n">
        <v>180</v>
      </c>
      <c r="D2" s="5" t="n">
        <v>120</v>
      </c>
      <c r="E2" s="5" t="n">
        <v>96</v>
      </c>
      <c r="F2" s="5" t="n">
        <v>0</v>
      </c>
      <c r="G2" s="5" t="n">
        <v>0</v>
      </c>
      <c r="H2" s="5" t="n">
        <v>24</v>
      </c>
      <c r="I2" s="5" t="n">
        <v>0</v>
      </c>
      <c r="J2" s="5" t="n">
        <f aca="false">D2-E2-F2-G2-H2</f>
        <v>0</v>
      </c>
    </row>
    <row r="3" customFormat="false" ht="15" hidden="false" customHeight="false" outlineLevel="0" collapsed="false">
      <c r="A3" s="4" t="s">
        <v>50</v>
      </c>
      <c r="B3" s="4" t="s">
        <v>51</v>
      </c>
      <c r="C3" s="6" t="n">
        <v>160</v>
      </c>
      <c r="D3" s="5" t="n">
        <v>80</v>
      </c>
      <c r="E3" s="5" t="n">
        <v>50</v>
      </c>
      <c r="F3" s="5" t="n">
        <v>30</v>
      </c>
      <c r="G3" s="5" t="n">
        <v>0</v>
      </c>
      <c r="H3" s="5" t="n">
        <v>0</v>
      </c>
      <c r="I3" s="5" t="n">
        <v>0</v>
      </c>
      <c r="J3" s="5" t="n">
        <f aca="false">D3-E3-F3-G3-H3</f>
        <v>0</v>
      </c>
    </row>
    <row r="4" customFormat="false" ht="15" hidden="false" customHeight="false" outlineLevel="0" collapsed="false">
      <c r="A4" s="4" t="s">
        <v>57</v>
      </c>
      <c r="B4" s="4" t="s">
        <v>58</v>
      </c>
      <c r="C4" s="6" t="n">
        <v>170</v>
      </c>
      <c r="D4" s="5" t="n">
        <v>70</v>
      </c>
      <c r="E4" s="5" t="n">
        <v>60</v>
      </c>
      <c r="F4" s="5" t="n">
        <v>0</v>
      </c>
      <c r="G4" s="5" t="n">
        <v>10</v>
      </c>
      <c r="H4" s="5" t="n">
        <v>0</v>
      </c>
      <c r="I4" s="5" t="n">
        <v>0</v>
      </c>
      <c r="J4" s="5" t="n">
        <f aca="false">D4-E4-F4-G4-H4</f>
        <v>0</v>
      </c>
    </row>
    <row r="5" customFormat="false" ht="26.85" hidden="false" customHeight="false" outlineLevel="0" collapsed="false">
      <c r="A5" s="4" t="s">
        <v>64</v>
      </c>
      <c r="B5" s="4" t="s">
        <v>65</v>
      </c>
      <c r="C5" s="6" t="n">
        <v>150</v>
      </c>
      <c r="D5" s="5" t="n">
        <v>60</v>
      </c>
      <c r="E5" s="5" t="n">
        <v>60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f aca="false">D5-E5-F5-G5-H5</f>
        <v>0</v>
      </c>
    </row>
    <row r="6" customFormat="false" ht="26.85" hidden="false" customHeight="false" outlineLevel="0" collapsed="false">
      <c r="A6" s="4" t="s">
        <v>36</v>
      </c>
      <c r="B6" s="4" t="s">
        <v>37</v>
      </c>
      <c r="C6" s="6" t="n">
        <v>180</v>
      </c>
      <c r="D6" s="5" t="n">
        <v>30</v>
      </c>
      <c r="E6" s="5" t="n">
        <v>30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f aca="false">D6-E6-F6-G6-H6</f>
        <v>0</v>
      </c>
    </row>
    <row r="7" customFormat="false" ht="15" hidden="false" customHeight="false" outlineLevel="0" collapsed="false">
      <c r="A7" s="4" t="s">
        <v>76</v>
      </c>
      <c r="B7" s="4" t="s">
        <v>77</v>
      </c>
      <c r="C7" s="6" t="n">
        <v>175</v>
      </c>
      <c r="D7" s="5" t="n">
        <v>43</v>
      </c>
      <c r="E7" s="5" t="n">
        <v>43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f aca="false">D7-E7-F7-G7-H7</f>
        <v>0</v>
      </c>
    </row>
    <row r="9" customFormat="false" ht="15" hidden="false" customHeight="false" outlineLevel="0" collapsed="false">
      <c r="A9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6" min="3" style="0" width="12"/>
    <col collapsed="false" customWidth="true" hidden="false" outlineLevel="0" max="8" min="7" style="0" width="13"/>
    <col collapsed="false" customWidth="true" hidden="false" outlineLevel="0" max="9" min="9" style="0" width="11"/>
  </cols>
  <sheetData>
    <row r="1" customFormat="false" ht="26.85" hidden="false" customHeight="false" outlineLevel="0" collapsed="false">
      <c r="A1" s="3" t="s">
        <v>23</v>
      </c>
      <c r="B1" s="3" t="s">
        <v>24</v>
      </c>
      <c r="C1" s="3" t="s">
        <v>107</v>
      </c>
      <c r="D1" s="3" t="s">
        <v>108</v>
      </c>
      <c r="E1" s="3" t="s">
        <v>109</v>
      </c>
      <c r="F1" s="3" t="s">
        <v>110</v>
      </c>
      <c r="G1" s="3" t="s">
        <v>111</v>
      </c>
      <c r="H1" s="3" t="s">
        <v>112</v>
      </c>
      <c r="I1" s="3" t="s">
        <v>113</v>
      </c>
    </row>
    <row r="2" customFormat="false" ht="15" hidden="false" customHeight="false" outlineLevel="0" collapsed="false">
      <c r="A2" s="4" t="s">
        <v>94</v>
      </c>
      <c r="B2" s="4" t="s">
        <v>44</v>
      </c>
      <c r="C2" s="6" t="n">
        <v>48000</v>
      </c>
      <c r="D2" s="5" t="n">
        <v>300</v>
      </c>
      <c r="E2" s="5" t="n">
        <v>220</v>
      </c>
      <c r="F2" s="5" t="n">
        <v>120</v>
      </c>
      <c r="G2" s="5" t="n">
        <f aca="false">E2+F2</f>
        <v>340</v>
      </c>
      <c r="H2" s="5" t="n">
        <f aca="false">MAX(0,G2-D2)</f>
        <v>40</v>
      </c>
      <c r="I2" s="9" t="n">
        <f aca="false">IF(D2=0,0,G2/D2)</f>
        <v>1.13333333333333</v>
      </c>
    </row>
    <row r="3" customFormat="false" ht="15" hidden="false" customHeight="false" outlineLevel="0" collapsed="false">
      <c r="A3" s="4" t="s">
        <v>114</v>
      </c>
      <c r="B3" s="4" t="s">
        <v>58</v>
      </c>
      <c r="C3" s="6" t="n">
        <v>30000</v>
      </c>
      <c r="D3" s="5" t="n">
        <v>200</v>
      </c>
      <c r="E3" s="5" t="n">
        <v>80</v>
      </c>
      <c r="F3" s="5" t="n">
        <v>60</v>
      </c>
      <c r="G3" s="5" t="n">
        <f aca="false">E3+F3</f>
        <v>140</v>
      </c>
      <c r="H3" s="5" t="n">
        <f aca="false">MAX(0,G3-D3)</f>
        <v>0</v>
      </c>
      <c r="I3" s="9" t="n">
        <f aca="false">IF(D3=0,0,G3/D3)</f>
        <v>0.7</v>
      </c>
    </row>
    <row r="4" customFormat="false" ht="26.85" hidden="false" customHeight="false" outlineLevel="0" collapsed="false">
      <c r="A4" s="4" t="s">
        <v>115</v>
      </c>
      <c r="B4" s="4" t="s">
        <v>37</v>
      </c>
      <c r="C4" s="6" t="n">
        <v>24000</v>
      </c>
      <c r="D4" s="5" t="n">
        <v>150</v>
      </c>
      <c r="E4" s="5" t="n">
        <v>100</v>
      </c>
      <c r="F4" s="5" t="n">
        <v>45</v>
      </c>
      <c r="G4" s="5" t="n">
        <f aca="false">E4+F4</f>
        <v>145</v>
      </c>
      <c r="H4" s="5" t="n">
        <f aca="false">MAX(0,G4-D4)</f>
        <v>0</v>
      </c>
      <c r="I4" s="9" t="n">
        <f aca="false">IF(D4=0,0,G4/D4)</f>
        <v>0.966666666666667</v>
      </c>
    </row>
    <row r="5" customFormat="false" ht="15" hidden="false" customHeight="false" outlineLevel="0" collapsed="false">
      <c r="A5" s="4" t="s">
        <v>116</v>
      </c>
      <c r="B5" s="4" t="s">
        <v>51</v>
      </c>
      <c r="C5" s="6" t="n">
        <v>16000</v>
      </c>
      <c r="D5" s="5" t="n">
        <v>100</v>
      </c>
      <c r="E5" s="5" t="n">
        <v>0</v>
      </c>
      <c r="F5" s="5" t="n">
        <v>30</v>
      </c>
      <c r="G5" s="5" t="n">
        <f aca="false">E5+F5</f>
        <v>30</v>
      </c>
      <c r="H5" s="5" t="n">
        <f aca="false">MAX(0,G5-D5)</f>
        <v>0</v>
      </c>
      <c r="I5" s="9" t="n">
        <f aca="false">IF(D5=0,0,G5/D5)</f>
        <v>0.3</v>
      </c>
    </row>
    <row r="7" customFormat="false" ht="15" hidden="false" customHeight="false" outlineLevel="0" collapsed="false">
      <c r="A7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118</v>
      </c>
      <c r="B1" s="3" t="s">
        <v>4</v>
      </c>
    </row>
    <row r="2" customFormat="false" ht="15" hidden="false" customHeight="false" outlineLevel="0" collapsed="false">
      <c r="A2" s="4" t="s">
        <v>119</v>
      </c>
      <c r="B2" s="5" t="n">
        <v>403</v>
      </c>
    </row>
    <row r="3" customFormat="false" ht="15" hidden="false" customHeight="false" outlineLevel="0" collapsed="false">
      <c r="A3" s="4" t="s">
        <v>120</v>
      </c>
      <c r="B3" s="5" t="n">
        <v>240</v>
      </c>
    </row>
    <row r="4" customFormat="false" ht="15" hidden="false" customHeight="false" outlineLevel="0" collapsed="false">
      <c r="A4" s="4" t="s">
        <v>121</v>
      </c>
      <c r="B4" s="5" t="n">
        <v>25</v>
      </c>
    </row>
    <row r="5" customFormat="false" ht="15" hidden="false" customHeight="false" outlineLevel="0" collapsed="false">
      <c r="A5" s="4" t="s">
        <v>122</v>
      </c>
      <c r="B5" s="5" t="n">
        <v>3</v>
      </c>
    </row>
    <row r="6" customFormat="false" ht="15" hidden="false" customHeight="false" outlineLevel="0" collapsed="false">
      <c r="A6" s="4" t="s">
        <v>123</v>
      </c>
      <c r="B6" s="5" t="n">
        <v>5</v>
      </c>
    </row>
    <row r="7" customFormat="false" ht="15" hidden="false" customHeight="false" outlineLevel="0" collapsed="false">
      <c r="A7" s="4" t="s">
        <v>124</v>
      </c>
      <c r="B7" s="5" t="n">
        <v>6</v>
      </c>
    </row>
    <row r="8" customFormat="false" ht="15" hidden="false" customHeight="false" outlineLevel="0" collapsed="false">
      <c r="A8" s="4" t="s">
        <v>125</v>
      </c>
      <c r="B8" s="5" t="n">
        <v>4</v>
      </c>
    </row>
    <row r="9" customFormat="false" ht="15" hidden="false" customHeight="false" outlineLevel="0" collapsed="false">
      <c r="A9" s="4" t="s">
        <v>126</v>
      </c>
      <c r="B9" s="5" t="n">
        <v>8</v>
      </c>
    </row>
    <row r="10" customFormat="false" ht="15" hidden="false" customHeight="false" outlineLevel="0" collapsed="false">
      <c r="A10" s="7" t="s">
        <v>127</v>
      </c>
      <c r="B10" s="10" t="n">
        <f aca="false">SUM(B2:B9)</f>
        <v>694</v>
      </c>
    </row>
    <row r="11" customFormat="false" ht="15" hidden="false" customHeight="false" outlineLevel="0" collapsed="false">
      <c r="A11" s="7" t="s">
        <v>128</v>
      </c>
      <c r="B11" s="10" t="n">
        <v>694</v>
      </c>
    </row>
    <row r="12" customFormat="false" ht="15" hidden="false" customHeight="false" outlineLevel="0" collapsed="false">
      <c r="A12" s="7" t="s">
        <v>129</v>
      </c>
      <c r="B12" s="10" t="n">
        <f aca="false">B10-B11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26.85" hidden="false" customHeight="false" outlineLevel="0" collapsed="false">
      <c r="A1" s="3" t="s">
        <v>118</v>
      </c>
      <c r="B1" s="3" t="s">
        <v>130</v>
      </c>
    </row>
    <row r="2" customFormat="false" ht="15" hidden="false" customHeight="false" outlineLevel="0" collapsed="false">
      <c r="A2" s="4" t="s">
        <v>131</v>
      </c>
      <c r="B2" s="6" t="n">
        <v>4800</v>
      </c>
    </row>
    <row r="3" customFormat="false" ht="15" hidden="false" customHeight="false" outlineLevel="0" collapsed="false">
      <c r="A3" s="4" t="s">
        <v>132</v>
      </c>
      <c r="B3" s="6" t="n">
        <v>91955</v>
      </c>
    </row>
    <row r="4" customFormat="false" ht="15" hidden="false" customHeight="false" outlineLevel="0" collapsed="false">
      <c r="A4" s="4" t="s">
        <v>133</v>
      </c>
      <c r="B4" s="6" t="n">
        <v>2400</v>
      </c>
    </row>
    <row r="5" customFormat="false" ht="15" hidden="false" customHeight="false" outlineLevel="0" collapsed="false">
      <c r="A5" s="4" t="s">
        <v>134</v>
      </c>
      <c r="B5" s="6" t="n">
        <v>12800</v>
      </c>
    </row>
    <row r="6" customFormat="false" ht="15" hidden="false" customHeight="false" outlineLevel="0" collapsed="false">
      <c r="A6" s="7" t="s">
        <v>127</v>
      </c>
      <c r="B6" s="11" t="n">
        <f aca="false">SUM(B2:B5)</f>
        <v>111955</v>
      </c>
    </row>
    <row r="7" customFormat="false" ht="15" hidden="false" customHeight="false" outlineLevel="0" collapsed="false">
      <c r="A7" s="7" t="s">
        <v>135</v>
      </c>
      <c r="B7" s="11" t="n">
        <v>111955</v>
      </c>
    </row>
    <row r="8" customFormat="false" ht="15" hidden="false" customHeight="false" outlineLevel="0" collapsed="false">
      <c r="A8" s="7" t="s">
        <v>129</v>
      </c>
      <c r="B8" s="11" t="n">
        <f aca="false">B6-B7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7" t="s">
        <v>136</v>
      </c>
      <c r="B1" s="8" t="s">
        <v>137</v>
      </c>
    </row>
    <row r="2" customFormat="false" ht="15" hidden="false" customHeight="false" outlineLevel="0" collapsed="false">
      <c r="A2" s="7" t="s">
        <v>138</v>
      </c>
      <c r="B2" s="8" t="s">
        <v>139</v>
      </c>
    </row>
    <row r="3" customFormat="false" ht="15" hidden="false" customHeight="false" outlineLevel="0" collapsed="false">
      <c r="A3" s="7" t="s">
        <v>140</v>
      </c>
      <c r="B3" s="8" t="s">
        <v>141</v>
      </c>
    </row>
    <row r="4" customFormat="false" ht="15" hidden="false" customHeight="false" outlineLevel="0" collapsed="false">
      <c r="A4" s="7" t="s">
        <v>142</v>
      </c>
      <c r="B4" s="8" t="s">
        <v>143</v>
      </c>
    </row>
    <row r="5" customFormat="false" ht="15" hidden="false" customHeight="false" outlineLevel="0" collapsed="false">
      <c r="A5" s="7" t="s">
        <v>144</v>
      </c>
      <c r="B5" s="8" t="s">
        <v>145</v>
      </c>
    </row>
    <row r="6" customFormat="false" ht="15" hidden="false" customHeight="false" outlineLevel="0" collapsed="false">
      <c r="A6" s="7" t="s">
        <v>146</v>
      </c>
      <c r="B6" s="8" t="s">
        <v>147</v>
      </c>
    </row>
    <row r="7" customFormat="false" ht="15" hidden="false" customHeight="false" outlineLevel="0" collapsed="false">
      <c r="A7" s="7" t="s">
        <v>148</v>
      </c>
      <c r="B7" s="8" t="s">
        <v>149</v>
      </c>
    </row>
    <row r="8" customFormat="false" ht="15" hidden="false" customHeight="false" outlineLevel="0" collapsed="false">
      <c r="A8" s="7" t="s">
        <v>150</v>
      </c>
      <c r="B8" s="8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2026-10-14T04:50:40Z</dcterms:created>
  <dc:creator>openpyxl</dc:creator>
  <dc:description/>
  <dc:language>en-US</dc:language>
  <cp:lastModifiedBy/>
  <dcterms:modified xsi:type="dcterms:W3CDTF">2026-10-14T04:50:40Z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